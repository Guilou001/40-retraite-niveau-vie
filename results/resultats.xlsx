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1f1776ffb246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ésultats" sheetId="1" r:id="R3bf359eb6ea14cf5"/>
    <x:sheet xmlns:r="http://schemas.openxmlformats.org/officeDocument/2006/relationships" name="Sensibilités" sheetId="2" r:id="Ra291f4662951424e"/>
    <x:sheet xmlns:r="http://schemas.openxmlformats.org/officeDocument/2006/relationships" name="Exemple" sheetId="3" r:id="Rf5c31631fd1440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"/>
    <x:numFmt numFmtId="202" formatCode="0.0%"/>
    <x:numFmt numFmtId="203" formatCode="0.0"/>
    <x:numFmt numFmtId="204" formatCode="0.00"/>
  </x:numFmts>
  <x:fonts count="7">
    <x:font>
      <x:sz val="11"/>
      <x:name val="Carlito"/>
    </x:font>
    <x:font>
      <x:sz val="10"/>
      <x:color rgb="FF263746"/>
      <x:name val="Arial"/>
    </x:font>
    <x:font>
      <x:b/>
      <x:sz val="15"/>
      <x:color rgb="FF263746"/>
      <x:name val="Arial"/>
    </x:font>
    <x:font>
      <x:i/>
      <x:sz val="10"/>
      <x:color rgb="FF526274"/>
      <x:name val="Arial"/>
    </x:font>
    <x:font>
      <x:b/>
      <x:sz val="10"/>
      <x:color rgb="FFFFFFFF"/>
      <x:name val="Arial"/>
    </x:font>
    <x:font>
      <x:sz val="10"/>
      <x:color rgb="FF17659A"/>
      <x:name val="Arial"/>
    </x:font>
    <x:font>
      <x:b/>
      <x:sz val="10"/>
      <x:color rgb="FF20202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659A"/>
      </x:patternFill>
    </x:fill>
    <x:fill>
      <x:patternFill patternType="solid">
        <x:fgColor rgb="FFF1F5F8"/>
      </x:patternFill>
    </x:fill>
    <x:fill>
      <x:patternFill patternType="solid">
        <x:fgColor rgb="FFEDF4FA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left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/>
    <x:xf numFmtId="203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left"/>
    </x:xf>
    <x:xf numFmtId="201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204" fontId="5" fillId="4" borderId="0" xfId="0" applyNumberFormat="1" applyFont="1" applyFill="1" applyBorder="1"/>
    <x:xf numFmtId="202" fontId="5" fillId="4" borderId="0" xfId="0" applyNumberFormat="1" applyFont="1" applyFill="1" applyBorder="1"/>
    <x:xf numFmtId="0" fontId="6" fillId="0" borderId="0" xfId="0" applyNumberFormat="1" applyFont="1" applyFill="1" applyBorder="1"/>
    <x:xf numFmtId="204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7865e1ff7e44fa" /><Relationship Type="http://schemas.openxmlformats.org/officeDocument/2006/relationships/theme" Target="/xl/theme/theme1.xml" Id="R28e3b4cfead94629" /><Relationship Type="http://schemas.openxmlformats.org/officeDocument/2006/relationships/sharedStrings" Target="/xl/sharedStrings.xml" Id="R10cfed990b5b43c5" /><Relationship Type="http://schemas.openxmlformats.org/officeDocument/2006/relationships/worksheet" Target="/xl/worksheets/sheet1.xml" Id="R3bf359eb6ea14cf5" /><Relationship Type="http://schemas.openxmlformats.org/officeDocument/2006/relationships/worksheet" Target="/xl/worksheets/sheet2.xml" Id="Ra291f4662951424e" /><Relationship Type="http://schemas.openxmlformats.org/officeDocument/2006/relationships/worksheet" Target="/xl/worksheets/sheet3.xml" Id="Rf5c31631fd1440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2" customHeight="1">
      <x:c r="A1" s="1"/>
      <x:c r="B1" s="1"/>
      <x:c r="C1" s="1"/>
      <x:c r="D1" s="1"/>
      <x:c r="E1" s="1"/>
      <x:c r="F1" s="1"/>
    </x:row>
    <x:row r="2" ht="22" customHeight="1">
      <x:c r="A2" s="2" t="str">
        <x:v>Faire durer son épargne sans trop réduire son niveau de vie</x:v>
      </x:c>
      <x:c r="B2" s="1"/>
      <x:c r="C2" s="1"/>
      <x:c r="D2" s="1"/>
      <x:c r="E2" s="1"/>
      <x:c r="F2" s="1"/>
    </x:row>
    <x:row r="3" ht="22" customHeight="1">
      <x:c r="A3" s="1"/>
      <x:c r="B3" s="1"/>
      <x:c r="C3" s="1"/>
      <x:c r="D3" s="1"/>
      <x:c r="E3" s="1"/>
      <x:c r="F3" s="1"/>
    </x:row>
    <x:row r="4" ht="22" customHeight="1">
      <x:c r="A4" s="3" t="str">
        <x:v>Départs américains de 40 ans, retraits en pouvoir d’achat constant</x:v>
      </x:c>
      <x:c r="B4" s="1"/>
      <x:c r="C4" s="1"/>
      <x:c r="D4" s="1"/>
      <x:c r="E4" s="1"/>
      <x:c r="F4" s="1"/>
    </x:row>
    <x:row r="5" ht="22" customHeight="1">
      <x:c r="A5" s="1" t="str">
        <x:v>Les tableaux sont des résultats calculés. L’exemple contient des formules modifiables.</x:v>
      </x:c>
      <x:c r="B5" s="1"/>
      <x:c r="C5" s="1"/>
      <x:c r="D5" s="1"/>
      <x:c r="E5" s="1"/>
      <x:c r="F5" s="1"/>
    </x:row>
    <x:row r="6" ht="22" customHeight="1">
      <x:c r="A6" s="1"/>
      <x:c r="B6" s="1"/>
      <x:c r="C6" s="1"/>
      <x:c r="D6" s="1"/>
      <x:c r="E6" s="1"/>
      <x:c r="F6" s="1"/>
    </x:row>
    <x:row r="7" ht="62" customHeight="1">
      <x:c r="A7" s="8" t="str">
        <x:v>Règle</x:v>
      </x:c>
      <x:c r="B7" s="8" t="str">
        <x:v>Départs</x:v>
      </x:c>
      <x:c r="C7" s="8" t="str">
        <x:v>Capital épuisé</x:v>
      </x:c>
      <x:c r="D7" s="8" t="str">
        <x:v>Sous le budget au moins un an</x:v>
      </x:c>
      <x:c r="E7" s="8" t="str">
        <x:v>Années sous le budget en moyenne</x:v>
      </x:c>
      <x:c r="F7" s="1"/>
    </x:row>
    <x:row r="8" ht="22" customHeight="1">
      <x:c r="A8" s="10" t="str">
        <x:v>Montant constant</x:v>
      </x:c>
      <x:c r="B8" s="12" t="n">
        <x:v>110</x:v>
      </x:c>
      <x:c r="C8" s="14" t="n">
        <x:v>0.1909090909</x:v>
      </x:c>
      <x:c r="D8" s="14" t="n">
        <x:v>0.1909090909</x:v>
      </x:c>
      <x:c r="E8" s="16" t="n">
        <x:v>1.3454545454</x:v>
      </x:c>
      <x:c r="F8" s="1"/>
    </x:row>
    <x:row r="9" ht="22" customHeight="1">
      <x:c r="A9" s="17" t="str">
        <x:v>Pourcentage du solde</x:v>
      </x:c>
      <x:c r="B9" s="18" t="n">
        <x:v>110</x:v>
      </x:c>
      <x:c r="C9" s="19" t="n">
        <x:v>0</x:v>
      </x:c>
      <x:c r="D9" s="19" t="n">
        <x:v>0.7454545455</x:v>
      </x:c>
      <x:c r="E9" s="20" t="n">
        <x:v>6.7909090909</x:v>
      </x:c>
      <x:c r="F9" s="1"/>
    </x:row>
    <x:row r="10" ht="22" customHeight="1">
      <x:c r="A10" s="10" t="str">
        <x:v>Ajustement limité</x:v>
      </x:c>
      <x:c r="B10" s="12" t="n">
        <x:v>110</x:v>
      </x:c>
      <x:c r="C10" s="14" t="n">
        <x:v>0</x:v>
      </x:c>
      <x:c r="D10" s="14" t="n">
        <x:v>0.2727272727</x:v>
      </x:c>
      <x:c r="E10" s="16" t="n">
        <x:v>3.2727272727</x:v>
      </x:c>
      <x:c r="F10" s="1"/>
    </x:row>
    <x:row r="11" ht="22" customHeight="1">
      <x:c r="A11" s="17" t="str">
        <x:v>Avec budget minimal</x:v>
      </x:c>
      <x:c r="B11" s="18" t="n">
        <x:v>110</x:v>
      </x:c>
      <x:c r="C11" s="19" t="n">
        <x:v>0</x:v>
      </x:c>
      <x:c r="D11" s="19" t="n">
        <x:v>0</x:v>
      </x:c>
      <x:c r="E11" s="20" t="n">
        <x:v>0</x:v>
      </x:c>
      <x:c r="F11" s="1"/>
    </x:row>
    <x:row r="12" ht="22" customHeight="1">
      <x:c r="A12" s="1"/>
      <x:c r="B12" s="1"/>
      <x:c r="C12" s="1"/>
      <x:c r="D12" s="1"/>
      <x:c r="E12" s="1"/>
      <x:c r="F12" s="1"/>
    </x:row>
    <x:row r="13" ht="22" customHeight="1">
      <x:c r="A13" s="1"/>
      <x:c r="B13" s="1"/>
      <x:c r="C13" s="1"/>
      <x:c r="D13" s="1"/>
      <x:c r="E13" s="1"/>
      <x:c r="F13" s="1"/>
    </x:row>
    <x:row r="14" ht="22" customHeight="1">
      <x:c r="A14" s="1" t="str">
        <x:v>Sources, unités et conditions de réutilisation</x:v>
      </x:c>
      <x:c r="B14" s="1"/>
      <x:c r="C14" s="1"/>
      <x:c r="D14" s="1"/>
      <x:c r="E14" s="1"/>
      <x:c r="F14" s="1"/>
    </x:row>
    <x:row r="15" ht="22" customHeight="1">
      <x:c r="A15" s="1" t="str">
        <x:v>https://github.com/Guilou001/40-retraite-niveau-vie/blob/main/docs/DONNEES.md</x:v>
      </x:c>
      <x:c r="B15" s="1"/>
      <x:c r="C15" s="1"/>
      <x:c r="D15" s="1"/>
      <x:c r="E15" s="1"/>
      <x:c r="F15" s="1"/>
    </x:row>
    <x:row r="16" ht="22" customHeight="1">
      <x:c r="A16" s="1"/>
      <x:c r="B16" s="1"/>
      <x:c r="C16" s="1"/>
      <x:c r="D16" s="1"/>
      <x:c r="E16" s="1"/>
      <x:c r="F16" s="1"/>
    </x:row>
    <x:row r="17" ht="22" customHeight="1">
      <x:c r="A17" s="1"/>
      <x:c r="B17" s="1"/>
      <x:c r="C17" s="1"/>
      <x:c r="D17" s="1"/>
      <x:c r="E17" s="1"/>
      <x:c r="F17" s="1"/>
    </x:row>
    <x:row r="18" ht="22" customHeight="1">
      <x:c r="A18" s="1"/>
      <x:c r="B18" s="1"/>
      <x:c r="C18" s="1"/>
      <x:c r="D18" s="1"/>
      <x:c r="E18" s="1"/>
      <x:c r="F1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2" customHeight="1">
      <x:c r="A1" s="1"/>
      <x:c r="B1" s="1"/>
      <x:c r="C1" s="1"/>
      <x:c r="D1" s="1"/>
      <x:c r="E1" s="1"/>
      <x:c r="F1" s="1"/>
    </x:row>
    <x:row r="2" ht="22" customHeight="1">
      <x:c r="A2" s="2" t="str">
        <x:v>Faire durer son épargne sans trop réduire son niveau de vie</x:v>
      </x:c>
      <x:c r="B2" s="1"/>
      <x:c r="C2" s="1"/>
      <x:c r="D2" s="1"/>
      <x:c r="E2" s="1"/>
      <x:c r="F2" s="1"/>
    </x:row>
    <x:row r="3" ht="22" customHeight="1">
      <x:c r="A3" s="1"/>
      <x:c r="B3" s="1"/>
      <x:c r="C3" s="1"/>
      <x:c r="D3" s="1"/>
      <x:c r="E3" s="1"/>
      <x:c r="F3" s="1"/>
    </x:row>
    <x:row r="4" ht="22" customHeight="1">
      <x:c r="A4" s="3" t="str">
        <x:v>Scénarios américains de 40 ans, 10 000 tirages par longueur de bloc</x:v>
      </x:c>
      <x:c r="B4" s="1"/>
      <x:c r="C4" s="1"/>
      <x:c r="D4" s="1"/>
      <x:c r="E4" s="1"/>
      <x:c r="F4" s="1"/>
    </x:row>
    <x:row r="5" ht="22" customHeight="1">
      <x:c r="A5" s="1" t="str">
        <x:v>Les tableaux sont des résultats calculés. L’exemple contient des formules modifiables.</x:v>
      </x:c>
      <x:c r="B5" s="1"/>
      <x:c r="C5" s="1"/>
      <x:c r="D5" s="1"/>
      <x:c r="E5" s="1"/>
      <x:c r="F5" s="1"/>
    </x:row>
    <x:row r="6" ht="22" customHeight="1">
      <x:c r="A6" s="1"/>
      <x:c r="B6" s="1"/>
      <x:c r="C6" s="1"/>
      <x:c r="D6" s="1"/>
      <x:c r="E6" s="1"/>
      <x:c r="F6" s="1"/>
    </x:row>
    <x:row r="7" ht="62" customHeight="1">
      <x:c r="A7" s="8" t="str">
        <x:v>Blocs en années</x:v>
      </x:c>
      <x:c r="B7" s="8" t="str">
        <x:v>Règle</x:v>
      </x:c>
      <x:c r="C7" s="8" t="str">
        <x:v>Capital épuisé</x:v>
      </x:c>
      <x:c r="D7" s="8" t="str">
        <x:v>Sous le budget au moins un an</x:v>
      </x:c>
      <x:c r="E7" s="8" t="str">
        <x:v>Manque cumulé relatif au budget</x:v>
      </x:c>
      <x:c r="F7" s="1"/>
    </x:row>
    <x:row r="8" ht="22" customHeight="1">
      <x:c r="A8" s="12" t="n">
        <x:v>3</x:v>
      </x:c>
      <x:c r="B8" s="10" t="str">
        <x:v>Montant constant</x:v>
      </x:c>
      <x:c r="C8" s="14" t="n">
        <x:v>0.1455</x:v>
      </x:c>
      <x:c r="D8" s="14" t="n">
        <x:v>0.1436</x:v>
      </x:c>
      <x:c r="E8" s="14" t="n">
        <x:v>0.0357762578</x:v>
      </x:c>
      <x:c r="F8" s="1"/>
    </x:row>
    <x:row r="9" ht="22" customHeight="1">
      <x:c r="A9" s="18" t="n">
        <x:v>3</x:v>
      </x:c>
      <x:c r="B9" s="17" t="str">
        <x:v>Pourcentage du solde</x:v>
      </x:c>
      <x:c r="C9" s="19" t="n">
        <x:v>0</x:v>
      </x:c>
      <x:c r="D9" s="19" t="n">
        <x:v>0.4236</x:v>
      </x:c>
      <x:c r="E9" s="19" t="n">
        <x:v>0.0313813312</x:v>
      </x:c>
      <x:c r="F9" s="1"/>
    </x:row>
    <x:row r="10" ht="22" customHeight="1">
      <x:c r="A10" s="12" t="n">
        <x:v>3</x:v>
      </x:c>
      <x:c r="B10" s="10" t="str">
        <x:v>Ajustement limité</x:v>
      </x:c>
      <x:c r="C10" s="14" t="n">
        <x:v>0.0928</x:v>
      </x:c>
      <x:c r="D10" s="14" t="n">
        <x:v>0.2103</x:v>
      </x:c>
      <x:c r="E10" s="14" t="n">
        <x:v>0.0231092781</x:v>
      </x:c>
      <x:c r="F10" s="1"/>
    </x:row>
    <x:row r="11" ht="22" customHeight="1">
      <x:c r="A11" s="18" t="n">
        <x:v>3</x:v>
      </x:c>
      <x:c r="B11" s="17" t="str">
        <x:v>Avec budget minimal</x:v>
      </x:c>
      <x:c r="C11" s="19" t="n">
        <x:v>0.1009</x:v>
      </x:c>
      <x:c r="D11" s="19" t="n">
        <x:v>0.1003</x:v>
      </x:c>
      <x:c r="E11" s="19" t="n">
        <x:v>0.0204832802</x:v>
      </x:c>
      <x:c r="F11" s="1"/>
    </x:row>
    <x:row r="12" ht="22" customHeight="1">
      <x:c r="A12" s="12" t="n">
        <x:v>5</x:v>
      </x:c>
      <x:c r="B12" s="10" t="str">
        <x:v>Montant constant</x:v>
      </x:c>
      <x:c r="C12" s="14" t="n">
        <x:v>0.147</x:v>
      </x:c>
      <x:c r="D12" s="14" t="n">
        <x:v>0.1451</x:v>
      </x:c>
      <x:c r="E12" s="14" t="n">
        <x:v>0.0358256608</x:v>
      </x:c>
      <x:c r="F12" s="1"/>
    </x:row>
    <x:row r="13" ht="22" customHeight="1">
      <x:c r="A13" s="18" t="n">
        <x:v>5</x:v>
      </x:c>
      <x:c r="B13" s="17" t="str">
        <x:v>Pourcentage du solde</x:v>
      </x:c>
      <x:c r="C13" s="19" t="n">
        <x:v>0</x:v>
      </x:c>
      <x:c r="D13" s="19" t="n">
        <x:v>0.4414</x:v>
      </x:c>
      <x:c r="E13" s="19" t="n">
        <x:v>0.0311396882</x:v>
      </x:c>
      <x:c r="F13" s="1"/>
    </x:row>
    <x:row r="14" ht="22" customHeight="1">
      <x:c r="A14" s="12" t="n">
        <x:v>5</x:v>
      </x:c>
      <x:c r="B14" s="10" t="str">
        <x:v>Ajustement limité</x:v>
      </x:c>
      <x:c r="C14" s="14" t="n">
        <x:v>0.0938</x:v>
      </x:c>
      <x:c r="D14" s="14" t="n">
        <x:v>0.2093</x:v>
      </x:c>
      <x:c r="E14" s="14" t="n">
        <x:v>0.0241548731</x:v>
      </x:c>
      <x:c r="F14" s="1"/>
    </x:row>
    <x:row r="15" ht="22" customHeight="1">
      <x:c r="A15" s="18" t="n">
        <x:v>5</x:v>
      </x:c>
      <x:c r="B15" s="17" t="str">
        <x:v>Avec budget minimal</x:v>
      </x:c>
      <x:c r="C15" s="19" t="n">
        <x:v>0.1017</x:v>
      </x:c>
      <x:c r="D15" s="19" t="n">
        <x:v>0.101</x:v>
      </x:c>
      <x:c r="E15" s="19" t="n">
        <x:v>0.0216246731</x:v>
      </x:c>
      <x:c r="F15" s="1"/>
    </x:row>
    <x:row r="16" ht="22" customHeight="1">
      <x:c r="A16" s="12" t="n">
        <x:v>10</x:v>
      </x:c>
      <x:c r="B16" s="10" t="str">
        <x:v>Montant constant</x:v>
      </x:c>
      <x:c r="C16" s="14" t="n">
        <x:v>0.1554</x:v>
      </x:c>
      <x:c r="D16" s="14" t="n">
        <x:v>0.1543</x:v>
      </x:c>
      <x:c r="E16" s="14" t="n">
        <x:v>0.040295321</x:v>
      </x:c>
      <x:c r="F16" s="1"/>
    </x:row>
    <x:row r="17" ht="22" customHeight="1">
      <x:c r="A17" s="18" t="n">
        <x:v>10</x:v>
      </x:c>
      <x:c r="B17" s="17" t="str">
        <x:v>Pourcentage du solde</x:v>
      </x:c>
      <x:c r="C17" s="19" t="n">
        <x:v>0</x:v>
      </x:c>
      <x:c r="D17" s="19" t="n">
        <x:v>0.4428</x:v>
      </x:c>
      <x:c r="E17" s="19" t="n">
        <x:v>0.0340058974</x:v>
      </x:c>
      <x:c r="F17" s="1"/>
    </x:row>
    <x:row r="18" ht="22" customHeight="1">
      <x:c r="A18" s="12" t="n">
        <x:v>10</x:v>
      </x:c>
      <x:c r="B18" s="10" t="str">
        <x:v>Ajustement limité</x:v>
      </x:c>
      <x:c r="C18" s="14" t="n">
        <x:v>0.0975</x:v>
      </x:c>
      <x:c r="D18" s="14" t="n">
        <x:v>0.2131</x:v>
      </x:c>
      <x:c r="E18" s="14" t="n">
        <x:v>0.0242219058</x:v>
      </x:c>
      <x:c r="F18" s="1"/>
    </x:row>
    <x:row r="19" ht="22" customHeight="1">
      <x:c r="A19" s="18" t="n">
        <x:v>10</x:v>
      </x:c>
      <x:c r="B19" s="17" t="str">
        <x:v>Avec budget minimal</x:v>
      </x:c>
      <x:c r="C19" s="19" t="n">
        <x:v>0.1081</x:v>
      </x:c>
      <x:c r="D19" s="19" t="n">
        <x:v>0.1076</x:v>
      </x:c>
      <x:c r="E19" s="19" t="n">
        <x:v>0.021253707</x:v>
      </x:c>
      <x:c r="F19" s="1"/>
    </x:row>
    <x:row r="20" ht="22" customHeight="1">
      <x:c r="A20" s="1"/>
      <x:c r="B20" s="1"/>
      <x:c r="C20" s="1"/>
      <x:c r="D20" s="1"/>
      <x:c r="E20" s="1"/>
      <x:c r="F20" s="1"/>
    </x:row>
    <x:row r="21" ht="22" customHeight="1">
      <x:c r="A21" s="1"/>
      <x:c r="B21" s="1"/>
      <x:c r="C21" s="1"/>
      <x:c r="D21" s="1"/>
      <x:c r="E21" s="1"/>
      <x:c r="F21" s="1"/>
    </x:row>
    <x:row r="22" ht="22" customHeight="1">
      <x:c r="A22" s="1" t="str">
        <x:v>Sources, unités et conditions de réutilisation</x:v>
      </x:c>
      <x:c r="B22" s="1"/>
      <x:c r="C22" s="1"/>
      <x:c r="D22" s="1"/>
      <x:c r="E22" s="1"/>
      <x:c r="F22" s="1"/>
    </x:row>
    <x:row r="23" ht="22" customHeight="1">
      <x:c r="A23" s="1" t="str">
        <x:v>https://github.com/Guilou001/40-retraite-niveau-vie/blob/main/docs/DONNEES.md</x:v>
      </x:c>
      <x:c r="B23" s="1"/>
      <x:c r="C23" s="1"/>
      <x:c r="D23" s="1"/>
      <x:c r="E23" s="1"/>
      <x:c r="F23" s="1"/>
    </x:row>
    <x:row r="24" ht="22" customHeight="1">
      <x:c r="A24" s="1"/>
      <x:c r="B24" s="1"/>
      <x:c r="C24" s="1"/>
      <x:c r="D24" s="1"/>
      <x:c r="E24" s="1"/>
      <x:c r="F24" s="1"/>
    </x:row>
    <x:row r="25" ht="22" customHeight="1">
      <x:c r="A25" s="1"/>
      <x:c r="B25" s="1"/>
      <x:c r="C25" s="1"/>
      <x:c r="D25" s="1"/>
      <x:c r="E25" s="1"/>
      <x:c r="F25" s="1"/>
    </x:row>
    <x:row r="26" ht="22" customHeight="1">
      <x:c r="A26" s="1"/>
      <x:c r="B26" s="1"/>
      <x:c r="C26" s="1"/>
      <x:c r="D26" s="1"/>
      <x:c r="E26" s="1"/>
      <x:c r="F26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23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</x:row>
    <x:row r="2" ht="22" customHeight="1">
      <x:c r="A2" s="2" t="str">
        <x:v>Pourquoi l’ordre des rendements compte</x:v>
      </x:c>
      <x:c r="B2" s="1"/>
      <x:c r="C2" s="1"/>
      <x:c r="D2" s="1"/>
      <x:c r="E2" s="1"/>
      <x:c r="F2" s="1"/>
      <x:c r="G2" s="1"/>
    </x:row>
    <x:row r="3" ht="22" customHeight="1">
      <x:c r="A3" s="1"/>
      <x:c r="B3" s="1"/>
      <x:c r="C3" s="1"/>
      <x:c r="D3" s="1"/>
      <x:c r="E3" s="1"/>
      <x:c r="F3" s="1"/>
      <x:c r="G3" s="1"/>
    </x:row>
    <x:row r="4" ht="22" customHeight="1">
      <x:c r="A4" s="3" t="str">
        <x:v>Modifier les rendements ou le retrait pour comparer les deux ordres.</x:v>
      </x:c>
      <x:c r="B4" s="1"/>
      <x:c r="C4" s="1"/>
      <x:c r="D4" s="1"/>
      <x:c r="E4" s="1"/>
      <x:c r="F4" s="1"/>
      <x:c r="G4" s="1"/>
    </x:row>
    <x:row r="5" ht="22" customHeight="1">
      <x:c r="A5" s="1" t="str">
        <x:v>Bleu, hypothèse modifiable. Noir, résultat recalculé par une formule.</x:v>
      </x:c>
      <x:c r="B5" s="1"/>
      <x:c r="C5" s="1"/>
      <x:c r="D5" s="1"/>
      <x:c r="E5" s="1"/>
      <x:c r="F5" s="1"/>
      <x:c r="G5" s="1"/>
    </x:row>
    <x:row r="6" ht="22" customHeight="1">
      <x:c r="A6" s="1"/>
      <x:c r="B6" s="1"/>
      <x:c r="C6" s="1"/>
      <x:c r="D6" s="1"/>
      <x:c r="E6" s="1"/>
      <x:c r="F6" s="1"/>
      <x:c r="G6" s="1"/>
    </x:row>
    <x:row r="7" ht="22" customHeight="1">
      <x:c r="A7" s="1" t="str">
        <x:v>Capital initial</x:v>
      </x:c>
      <x:c r="B7" s="23" t="n">
        <x:v>100</x:v>
      </x:c>
      <x:c r="C7" s="1"/>
      <x:c r="D7" s="1"/>
      <x:c r="E7" s="1"/>
      <x:c r="F7" s="1"/>
      <x:c r="G7" s="1"/>
    </x:row>
    <x:row r="8" ht="22" customHeight="1">
      <x:c r="A8" s="1" t="str">
        <x:v>Premier rendement</x:v>
      </x:c>
      <x:c r="B8" s="24" t="n">
        <x:v>-0.2</x:v>
      </x:c>
      <x:c r="C8" s="1"/>
      <x:c r="D8" s="1"/>
      <x:c r="E8" s="1"/>
      <x:c r="F8" s="1"/>
      <x:c r="G8" s="1"/>
    </x:row>
    <x:row r="9" ht="22" customHeight="1">
      <x:c r="A9" s="1" t="str">
        <x:v>Deuxième rendement</x:v>
      </x:c>
      <x:c r="B9" s="24" t="n">
        <x:v>0.25</x:v>
      </x:c>
      <x:c r="C9" s="1"/>
      <x:c r="D9" s="1"/>
      <x:c r="E9" s="1"/>
      <x:c r="F9" s="1"/>
      <x:c r="G9" s="1"/>
    </x:row>
    <x:row r="10" ht="22" customHeight="1">
      <x:c r="A10" s="1" t="str">
        <x:v>Retrait en fin d’année</x:v>
      </x:c>
      <x:c r="B10" s="23" t="n">
        <x:v>10</x:v>
      </x:c>
      <x:c r="C10" s="1"/>
      <x:c r="D10" s="1"/>
      <x:c r="E10" s="1"/>
      <x:c r="F10" s="1"/>
      <x:c r="G10" s="1"/>
    </x:row>
    <x:row r="11" ht="22" customHeight="1">
      <x:c r="A11" s="1"/>
      <x:c r="B11" s="1"/>
      <x:c r="C11" s="1"/>
      <x:c r="D11" s="1"/>
      <x:c r="E11" s="1"/>
      <x:c r="F11" s="1"/>
      <x:c r="G11" s="1"/>
    </x:row>
    <x:row r="12" ht="22" customHeight="1">
      <x:c r="A12" s="1" t="str">
        <x:v>Solde après la première année</x:v>
      </x:c>
      <x:c r="B12" s="26" t="n">
        <x:f>B7*(1+B8)-B10</x:f>
        <x:v>70</x:v>
      </x:c>
      <x:c r="C12" s="1"/>
      <x:c r="D12" s="1"/>
      <x:c r="E12" s="1"/>
      <x:c r="F12" s="1"/>
      <x:c r="G12" s="1"/>
    </x:row>
    <x:row r="13" ht="22" customHeight="1">
      <x:c r="A13" s="1" t="str">
        <x:v>Solde final</x:v>
      </x:c>
      <x:c r="B13" s="26" t="n">
        <x:f>B12*(1+B9)-B10</x:f>
        <x:v>77.5</x:v>
      </x:c>
      <x:c r="C13" s="1"/>
      <x:c r="D13" s="1"/>
      <x:c r="E13" s="1"/>
      <x:c r="F13" s="1"/>
      <x:c r="G13" s="1"/>
    </x:row>
    <x:row r="14" ht="22" customHeight="1">
      <x:c r="A14" s="1"/>
      <x:c r="B14" s="1"/>
      <x:c r="C14" s="1"/>
      <x:c r="D14" s="1"/>
      <x:c r="E14" s="1"/>
      <x:c r="F14" s="1"/>
      <x:c r="G14" s="1"/>
    </x:row>
    <x:row r="15" ht="22" customHeight="1">
      <x:c r="A15" s="1" t="str">
        <x:v>Solde intermédiaire, ordre inverse</x:v>
      </x:c>
      <x:c r="B15" s="26" t="n">
        <x:f>B7*(1+B9)-B10</x:f>
        <x:v>115</x:v>
      </x:c>
      <x:c r="C15" s="1"/>
      <x:c r="D15" s="1"/>
      <x:c r="E15" s="1"/>
      <x:c r="F15" s="1"/>
      <x:c r="G15" s="1"/>
    </x:row>
    <x:row r="16" ht="22" customHeight="1">
      <x:c r="A16" s="1" t="str">
        <x:v>Solde final, ordre inverse</x:v>
      </x:c>
      <x:c r="B16" s="26" t="n">
        <x:f>B15*(1+B8)-B10</x:f>
        <x:v>82</x:v>
      </x:c>
      <x:c r="C16" s="1"/>
      <x:c r="D16" s="1"/>
      <x:c r="E16" s="1"/>
      <x:c r="F16" s="1"/>
      <x:c r="G16" s="1"/>
    </x:row>
    <x:row r="17" ht="22" customHeight="1">
      <x:c r="A17" s="1"/>
      <x:c r="B17" s="1"/>
      <x:c r="C17" s="1"/>
      <x:c r="D17" s="1"/>
      <x:c r="E17" s="1"/>
      <x:c r="F17" s="1"/>
      <x:c r="G17" s="1"/>
    </x:row>
    <x:row r="18" ht="22" customHeight="1">
      <x:c r="A18" s="1"/>
      <x:c r="B18" s="1"/>
      <x:c r="C18" s="1"/>
      <x:c r="D18" s="1"/>
      <x:c r="E18" s="1"/>
      <x:c r="F18" s="1"/>
      <x:c r="G18" s="1"/>
    </x:row>
    <x:row r="19" ht="22" customHeight="1">
      <x:c r="A19" s="1"/>
      <x:c r="B19" s="1"/>
      <x:c r="C19" s="1"/>
      <x:c r="D19" s="1"/>
      <x:c r="E19" s="1"/>
      <x:c r="F19" s="1"/>
      <x:c r="G19" s="1"/>
    </x:row>
    <x:row r="20" ht="22" customHeight="1">
      <x:c r="A20" s="1"/>
      <x:c r="B20" s="1"/>
      <x:c r="C20" s="1"/>
      <x:c r="D20" s="1"/>
      <x:c r="E20" s="1"/>
      <x:c r="F20" s="1"/>
      <x:c r="G20" s="1"/>
    </x:row>
    <x:row r="21" ht="22" customHeight="1">
      <x:c r="A21" s="1" t="str">
        <x:v>Exemple arithmétique du projet, distinct des résultats historiques.</x:v>
      </x:c>
      <x:c r="B21" s="1"/>
      <x:c r="C21" s="1"/>
      <x:c r="D21" s="1"/>
      <x:c r="E21" s="1"/>
      <x:c r="F21" s="1"/>
      <x:c r="G21" s="1"/>
    </x:row>
    <x:row r="22" ht="22" customHeight="1">
      <x:c r="A22" s="1"/>
      <x:c r="B22" s="1"/>
      <x:c r="C22" s="1"/>
      <x:c r="D22" s="1"/>
      <x:c r="E22" s="1"/>
      <x:c r="F22" s="1"/>
      <x:c r="G22" s="1"/>
    </x:row>
    <x:row r="23" ht="22" customHeight="1">
      <x:c r="A23" s="1" t="str">
        <x:v>https://github.com/Guilou001/40-retraite-niveau-vie/blob/main/docs/COMPRENDRE.md</x:v>
      </x:c>
      <x:c r="B23" s="1"/>
      <x:c r="C23" s="1"/>
      <x:c r="D23" s="1"/>
      <x:c r="E23" s="1"/>
      <x:c r="F23" s="1"/>
      <x:c r="G23" s="1"/>
    </x:row>
    <x:row r="24" ht="22" customHeight="1">
      <x:c r="A24" s="1"/>
      <x:c r="B24" s="1"/>
      <x:c r="C24" s="1"/>
      <x:c r="D24" s="1"/>
      <x:c r="E24" s="1"/>
      <x:c r="F24" s="1"/>
      <x:c r="G24" s="1"/>
    </x:row>
    <x:row r="25" ht="22" customHeight="1">
      <x:c r="A25" s="1"/>
      <x:c r="B25" s="1"/>
      <x:c r="C25" s="1"/>
      <x:c r="D25" s="1"/>
      <x:c r="E25" s="1"/>
      <x:c r="F25" s="1"/>
      <x:c r="G25" s="1"/>
    </x:row>
    <x:row r="26" ht="22" customHeight="1">
      <x:c r="A26" s="1"/>
      <x:c r="B26" s="1"/>
      <x:c r="C26" s="1"/>
      <x:c r="D26" s="1"/>
      <x:c r="E26" s="1"/>
      <x:c r="F26" s="1"/>
      <x:c r="G26" s="1"/>
    </x:row>
  </x:sheetData>
  <x:pageMargins left="0.7" right="0.7" top="0.75" bottom="0.75" header="0.3" footer="0.3"/>
</x:worksheet>
</file>